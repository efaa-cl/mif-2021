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varodiaz/Downloads/"/>
    </mc:Choice>
  </mc:AlternateContent>
  <xr:revisionPtr revIDLastSave="0" documentId="13_ncr:1_{D635497E-3D72-5241-AEC6-441E1C0FB42C}" xr6:coauthVersionLast="47" xr6:coauthVersionMax="47" xr10:uidLastSave="{00000000-0000-0000-0000-000000000000}"/>
  <bookViews>
    <workbookView xWindow="0" yWindow="500" windowWidth="33600" windowHeight="19860" activeTab="1" xr2:uid="{00000000-000D-0000-FFFF-FFFF00000000}"/>
  </bookViews>
  <sheets>
    <sheet name="pata fija" sheetId="1" r:id="rId1"/>
    <sheet name="pata flotante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2" l="1"/>
  <c r="G26" i="2"/>
  <c r="G25" i="2"/>
  <c r="G24" i="2"/>
  <c r="G23" i="2"/>
  <c r="G22" i="2"/>
  <c r="G21" i="2"/>
  <c r="G20" i="2"/>
  <c r="F27" i="2"/>
  <c r="F26" i="2"/>
  <c r="F25" i="2"/>
  <c r="F24" i="2"/>
  <c r="F23" i="2"/>
  <c r="F22" i="2"/>
  <c r="F21" i="2"/>
  <c r="F20" i="2"/>
  <c r="B15" i="1"/>
  <c r="E27" i="2" a="1"/>
  <c r="E22" i="2" a="1"/>
  <c r="E26" i="2" a="1"/>
  <c r="E23" i="2" a="1"/>
  <c r="E21" i="2" a="1"/>
  <c r="E25" i="2" a="1"/>
  <c r="E24" i="2" a="1"/>
  <c r="E20" i="2" a="1"/>
  <c r="D27" i="2" a="1"/>
  <c r="D22" i="2" a="1"/>
  <c r="D24" i="2" a="1"/>
  <c r="D21" i="2" a="1"/>
  <c r="D26" i="2" a="1"/>
  <c r="D23" i="2" a="1"/>
  <c r="D25" i="2" a="1"/>
  <c r="D20" i="2" a="1"/>
  <c r="C22" i="2" a="1"/>
  <c r="C27" i="2" a="1"/>
  <c r="C23" i="2" a="1"/>
  <c r="C21" i="2" a="1"/>
  <c r="C26" i="2" a="1"/>
  <c r="C24" i="2" a="1"/>
  <c r="C25" i="2" a="1"/>
  <c r="C20" i="2" a="1"/>
  <c r="C18" i="1" a="1"/>
  <c r="C17" i="1" a="1"/>
  <c r="C16" i="1" a="1"/>
  <c r="C15" i="1" a="1"/>
  <c r="E24" i="2" l="1"/>
  <c r="E25" i="2"/>
  <c r="E21" i="2"/>
  <c r="E23" i="2"/>
  <c r="E26" i="2"/>
  <c r="E22" i="2"/>
  <c r="E27" i="2"/>
  <c r="E20" i="2"/>
  <c r="D25" i="2"/>
  <c r="D23" i="2"/>
  <c r="D26" i="2"/>
  <c r="D21" i="2"/>
  <c r="D24" i="2"/>
  <c r="D22" i="2"/>
  <c r="D27" i="2"/>
  <c r="D20" i="2"/>
  <c r="C25" i="2"/>
  <c r="B26" i="2" s="1"/>
  <c r="C24" i="2"/>
  <c r="B25" i="2" s="1"/>
  <c r="C26" i="2"/>
  <c r="B27" i="2" s="1"/>
  <c r="C21" i="2"/>
  <c r="B22" i="2" s="1"/>
  <c r="C23" i="2"/>
  <c r="B24" i="2" s="1"/>
  <c r="C27" i="2"/>
  <c r="C22" i="2"/>
  <c r="B23" i="2" s="1"/>
  <c r="C20" i="2"/>
  <c r="B21" i="2" s="1"/>
  <c r="C16" i="1"/>
  <c r="B17" i="1" s="1"/>
  <c r="C17" i="1"/>
  <c r="C18" i="1"/>
  <c r="C15" i="1"/>
  <c r="E15" i="1" s="1"/>
  <c r="F15" i="1" s="1"/>
  <c r="B18" i="1"/>
  <c r="E18" i="1" s="1"/>
  <c r="F18" i="1" s="1"/>
  <c r="D17" i="1" a="1"/>
  <c r="D18" i="1" a="1"/>
  <c r="D16" i="1" a="1"/>
  <c r="D15" i="1" a="1"/>
  <c r="E17" i="1" l="1"/>
  <c r="F17" i="1" s="1"/>
  <c r="D16" i="1"/>
  <c r="D18" i="1"/>
  <c r="D17" i="1"/>
  <c r="D15" i="1"/>
  <c r="B16" i="1"/>
  <c r="E16" i="1" s="1"/>
  <c r="F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<sst xmlns="http://schemas.openxmlformats.org/spreadsheetml/2006/main" count="120" uniqueCount="40">
  <si>
    <t>fecha_inicial</t>
  </si>
  <si>
    <t>fecha_final</t>
  </si>
  <si>
    <t>fecha_pago</t>
  </si>
  <si>
    <t>nominal</t>
  </si>
  <si>
    <t>amortizacion</t>
  </si>
  <si>
    <t>interes</t>
  </si>
  <si>
    <t>amort_es_flujo</t>
  </si>
  <si>
    <t>flujo</t>
  </si>
  <si>
    <t>moneda</t>
  </si>
  <si>
    <t>valor_tasa</t>
  </si>
  <si>
    <t>tipo_tasa</t>
  </si>
  <si>
    <t>2020-09-17</t>
  </si>
  <si>
    <t>2021-03-17</t>
  </si>
  <si>
    <t>USD</t>
  </si>
  <si>
    <t>Lin30360</t>
  </si>
  <si>
    <t>2021-09-17</t>
  </si>
  <si>
    <t>2022-03-17</t>
  </si>
  <si>
    <t>2022-09-19</t>
  </si>
  <si>
    <t>Réplica</t>
  </si>
  <si>
    <t>periodicidad</t>
  </si>
  <si>
    <t>lag pago</t>
  </si>
  <si>
    <t>fecha_fixing</t>
  </si>
  <si>
    <t>codigo_indice_tasa</t>
  </si>
  <si>
    <t>spread</t>
  </si>
  <si>
    <t>gearing</t>
  </si>
  <si>
    <t>2020-12-17</t>
  </si>
  <si>
    <t>2020-09-15</t>
  </si>
  <si>
    <t>LIBORUSD3M</t>
  </si>
  <si>
    <t>LinAct360</t>
  </si>
  <si>
    <t>2020-12-15</t>
  </si>
  <si>
    <t>2021-06-17</t>
  </si>
  <si>
    <t>2021-03-15</t>
  </si>
  <si>
    <t>2021-06-15</t>
  </si>
  <si>
    <t>2021-12-17</t>
  </si>
  <si>
    <t>2021-09-15</t>
  </si>
  <si>
    <t>2021-12-15</t>
  </si>
  <si>
    <t>2022-06-17</t>
  </si>
  <si>
    <t>2022-03-15</t>
  </si>
  <si>
    <t>2022-06-15</t>
  </si>
  <si>
    <t>lag fixing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</si>
</sst>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0.0000%"/>
    <numFmt numFmtId="169" formatCode="yyyy/mm/dd;@"/>
    <numFmt numFmtId="170" formatCode="0.00000%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4" fontId="1" fillId="0" borderId="1" xfId="0" applyNumberFormat="1" applyFont="1" applyBorder="1" applyAlignment="1">
      <alignment horizontal="center" vertical="top"/>
    </xf>
    <xf numFmtId="166" fontId="1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top"/>
    </xf>
    <xf numFmtId="4" fontId="3" fillId="0" borderId="1" xfId="0" applyNumberFormat="1" applyFont="1" applyBorder="1" applyAlignment="1">
      <alignment horizontal="center" vertical="top"/>
    </xf>
    <xf numFmtId="10" fontId="0" fillId="0" borderId="0" xfId="1" applyNumberFormat="1" applyFont="1" applyAlignment="1">
      <alignment horizontal="center"/>
    </xf>
    <xf numFmtId="170" fontId="0" fillId="0" borderId="0" xfId="1" applyNumberFormat="1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" fontId="0" fillId="2" borderId="0" xfId="0" applyNumberFormat="1" applyFill="1" applyAlignment="1">
      <alignment horizontal="center"/>
    </xf>
    <xf numFmtId="166" fontId="0" fillId="2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530857</xdr:colOff>
      <xdr:row>1</xdr:row>
      <xdr:rowOff>169332</xdr:rowOff>
    </xdr:from>
    <xdr:to>
      <xdr:col>19</xdr:col>
      <xdr:colOff>649816</xdr:colOff>
      <xdr:row>35</xdr:row>
      <xdr:rowOff>38270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F9FED6-62E6-774E-8B16-77C60E3AE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4857" y="359832"/>
          <a:ext cx="5537626" cy="63988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18</xdr:col>
      <xdr:colOff>575734</xdr:colOff>
      <xdr:row>55</xdr:row>
      <xdr:rowOff>82871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845AF8-C2B1-154F-8D03-65012C479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3167" y="2719917"/>
          <a:ext cx="7772400" cy="7893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K19"/>
  <sheetViews>
    <sheetView showGridLines="0" zoomScale="120" zoomScaleNormal="120" workbookViewId="0">
      <selection activeCell="B11" sqref="B11:C12"/>
    </sheetView>
  </sheetViews>
  <sheetFormatPr baseColWidth="10" defaultColWidth="8.83203125" defaultRowHeight="15" x14ac:dyDescent="0.2"/>
  <cols>
    <col min="1" max="1" width="15.1640625" style="4" customWidth="1"/>
    <col min="2" max="2" width="16" style="4" customWidth="1"/>
    <col min="3" max="3" width="17.6640625" style="4" customWidth="1"/>
    <col min="4" max="6" width="12.6640625" style="5" bestFit="1" customWidth="1"/>
    <col min="7" max="7" width="12.6640625" style="4" bestFit="1" customWidth="1"/>
    <col min="8" max="8" width="12.1640625" style="4" bestFit="1" customWidth="1"/>
    <col min="9" max="9" width="7.5" style="4" bestFit="1" customWidth="1"/>
    <col min="10" max="10" width="9.1640625" style="6" bestFit="1" customWidth="1"/>
    <col min="11" max="11" width="8.5" style="4" bestFit="1" customWidth="1"/>
  </cols>
  <sheetData>
    <row r="3" spans="1:11" x14ac:dyDescent="0.2">
      <c r="A3" s="1" t="s">
        <v>0</v>
      </c>
      <c r="B3" s="1" t="s">
        <v>1</v>
      </c>
      <c r="C3" s="1" t="s">
        <v>2</v>
      </c>
      <c r="D3" s="2" t="s">
        <v>3</v>
      </c>
      <c r="E3" s="2" t="s">
        <v>4</v>
      </c>
      <c r="F3" s="2" t="s">
        <v>5</v>
      </c>
      <c r="G3" s="1" t="s">
        <v>6</v>
      </c>
      <c r="H3" s="2" t="s">
        <v>7</v>
      </c>
      <c r="I3" s="1" t="s">
        <v>8</v>
      </c>
      <c r="J3" s="3" t="s">
        <v>9</v>
      </c>
      <c r="K3" s="1" t="s">
        <v>10</v>
      </c>
    </row>
    <row r="4" spans="1:11" x14ac:dyDescent="0.2">
      <c r="A4" s="4" t="s">
        <v>11</v>
      </c>
      <c r="B4" s="4" t="s">
        <v>12</v>
      </c>
      <c r="C4" s="4" t="s">
        <v>12</v>
      </c>
      <c r="D4" s="5">
        <v>10000000</v>
      </c>
      <c r="E4" s="5">
        <v>0</v>
      </c>
      <c r="F4" s="5">
        <v>10905.00000000105</v>
      </c>
      <c r="G4" s="4" t="b">
        <v>1</v>
      </c>
      <c r="H4" s="5">
        <v>10905.00000000105</v>
      </c>
      <c r="I4" s="4" t="s">
        <v>13</v>
      </c>
      <c r="J4" s="6">
        <v>2.1810000000000002E-3</v>
      </c>
      <c r="K4" s="4" t="s">
        <v>14</v>
      </c>
    </row>
    <row r="5" spans="1:11" x14ac:dyDescent="0.2">
      <c r="A5" s="4" t="s">
        <v>12</v>
      </c>
      <c r="B5" s="4" t="s">
        <v>15</v>
      </c>
      <c r="C5" s="4" t="s">
        <v>15</v>
      </c>
      <c r="D5" s="5">
        <v>10000000</v>
      </c>
      <c r="E5" s="5">
        <v>0</v>
      </c>
      <c r="F5" s="5">
        <v>10905.00000000105</v>
      </c>
      <c r="G5" s="4" t="b">
        <v>1</v>
      </c>
      <c r="H5" s="5">
        <v>10905.00000000105</v>
      </c>
      <c r="I5" s="4" t="s">
        <v>13</v>
      </c>
      <c r="J5" s="6">
        <v>2.1810000000000002E-3</v>
      </c>
      <c r="K5" s="4" t="s">
        <v>14</v>
      </c>
    </row>
    <row r="6" spans="1:11" x14ac:dyDescent="0.2">
      <c r="A6" s="4" t="s">
        <v>15</v>
      </c>
      <c r="B6" s="4" t="s">
        <v>16</v>
      </c>
      <c r="C6" s="4" t="s">
        <v>16</v>
      </c>
      <c r="D6" s="5">
        <v>10000000</v>
      </c>
      <c r="E6" s="5">
        <v>0</v>
      </c>
      <c r="F6" s="5">
        <v>10905.00000000105</v>
      </c>
      <c r="G6" s="4" t="b">
        <v>1</v>
      </c>
      <c r="H6" s="5">
        <v>10905.00000000105</v>
      </c>
      <c r="I6" s="4" t="s">
        <v>13</v>
      </c>
      <c r="J6" s="6">
        <v>2.1810000000000002E-3</v>
      </c>
      <c r="K6" s="4" t="s">
        <v>14</v>
      </c>
    </row>
    <row r="7" spans="1:11" x14ac:dyDescent="0.2">
      <c r="A7" s="4" t="s">
        <v>16</v>
      </c>
      <c r="B7" s="4" t="s">
        <v>17</v>
      </c>
      <c r="C7" s="4" t="s">
        <v>17</v>
      </c>
      <c r="D7" s="5">
        <v>10000000</v>
      </c>
      <c r="E7" s="5">
        <v>10000000</v>
      </c>
      <c r="F7" s="5">
        <v>11026.16666666556</v>
      </c>
      <c r="G7" s="4" t="b">
        <v>1</v>
      </c>
      <c r="H7" s="5">
        <v>10011026.16666667</v>
      </c>
      <c r="I7" s="4" t="s">
        <v>13</v>
      </c>
      <c r="J7" s="6">
        <v>2.1810000000000002E-3</v>
      </c>
      <c r="K7" s="4" t="s">
        <v>14</v>
      </c>
    </row>
    <row r="9" spans="1:11" ht="19" x14ac:dyDescent="0.25">
      <c r="A9" s="12" t="s">
        <v>18</v>
      </c>
      <c r="B9" s="13"/>
      <c r="C9" s="13"/>
      <c r="D9" s="14"/>
      <c r="E9" s="14"/>
      <c r="F9" s="14"/>
      <c r="G9" s="13"/>
      <c r="H9" s="13"/>
      <c r="I9" s="13"/>
      <c r="J9" s="15"/>
      <c r="K9" s="13"/>
    </row>
    <row r="11" spans="1:11" x14ac:dyDescent="0.2">
      <c r="B11" s="4" t="s">
        <v>19</v>
      </c>
      <c r="C11" s="4">
        <v>6</v>
      </c>
    </row>
    <row r="12" spans="1:11" x14ac:dyDescent="0.2">
      <c r="B12" s="4" t="s">
        <v>20</v>
      </c>
      <c r="C12" s="4">
        <v>0</v>
      </c>
    </row>
    <row r="14" spans="1:11" x14ac:dyDescent="0.2">
      <c r="B14" s="1" t="s">
        <v>0</v>
      </c>
      <c r="C14" s="1" t="s">
        <v>1</v>
      </c>
      <c r="D14" s="1" t="s">
        <v>2</v>
      </c>
      <c r="E14" s="2" t="s">
        <v>5</v>
      </c>
      <c r="F14" s="2" t="s">
        <v>7</v>
      </c>
      <c r="I14"/>
      <c r="J14"/>
      <c r="K14"/>
    </row>
    <row r="15" spans="1:11" x14ac:dyDescent="0.2">
      <c r="A15" s="4">
        <v>1</v>
      </c>
      <c r="B15" s="7" t="str">
        <f>A4</f>
        <v>2020-09-17</v>
      </c>
      <c r="C15" s="7" cm="1">
        <f t="array" ref="C15">bussday(addmonths($B$15,A15*6))</f>
        <v>44272</v>
      </c>
      <c r="D15" s="7" cm="1">
        <f t="array" ref="D15">shift(C15,$C$12)</f>
        <v>44272</v>
      </c>
      <c r="E15" s="5">
        <f>D4*J4*DAYS360(B15,C15)/360</f>
        <v>10905.000000000002</v>
      </c>
      <c r="F15" s="5">
        <f>E4+E15</f>
        <v>10905.000000000002</v>
      </c>
      <c r="I15"/>
      <c r="J15"/>
      <c r="K15"/>
    </row>
    <row r="16" spans="1:11" x14ac:dyDescent="0.2">
      <c r="A16" s="4">
        <v>2</v>
      </c>
      <c r="B16" s="7">
        <f>C15</f>
        <v>44272</v>
      </c>
      <c r="C16" s="7" cm="1">
        <f t="array" ref="C16">bussday(addmonths($B$15,A16*6))</f>
        <v>44456</v>
      </c>
      <c r="D16" s="7" cm="1">
        <f t="array" ref="D16">shift(C16,$C$12)</f>
        <v>44456</v>
      </c>
      <c r="E16" s="5">
        <f t="shared" ref="E16:E18" si="0">D5*J5*DAYS360(B16,C16)/360</f>
        <v>10905.000000000002</v>
      </c>
      <c r="F16" s="5">
        <f t="shared" ref="F16:F18" si="1">E5+E16</f>
        <v>10905.000000000002</v>
      </c>
      <c r="I16"/>
      <c r="J16"/>
      <c r="K16"/>
    </row>
    <row r="17" spans="1:11" x14ac:dyDescent="0.2">
      <c r="A17" s="4">
        <v>3</v>
      </c>
      <c r="B17" s="7">
        <f t="shared" ref="B17:B18" si="2">C16</f>
        <v>44456</v>
      </c>
      <c r="C17" s="7" cm="1">
        <f t="array" ref="C17">bussday(addmonths($B$15,A17*6))</f>
        <v>44637</v>
      </c>
      <c r="D17" s="7" cm="1">
        <f t="array" ref="D17">shift(C17,$C$12)</f>
        <v>44637</v>
      </c>
      <c r="E17" s="5">
        <f t="shared" si="0"/>
        <v>10905.000000000002</v>
      </c>
      <c r="F17" s="5">
        <f t="shared" si="1"/>
        <v>10905.000000000002</v>
      </c>
      <c r="I17"/>
      <c r="J17"/>
      <c r="K17"/>
    </row>
    <row r="18" spans="1:11" x14ac:dyDescent="0.2">
      <c r="A18" s="4">
        <v>4</v>
      </c>
      <c r="B18" s="7">
        <f t="shared" si="2"/>
        <v>44637</v>
      </c>
      <c r="C18" s="7" cm="1">
        <f t="array" ref="C18">bussday(addmonths($B$15,A18*6))</f>
        <v>44823</v>
      </c>
      <c r="D18" s="7" cm="1">
        <f t="array" ref="D18">shift(C18,$C$12)</f>
        <v>44823</v>
      </c>
      <c r="E18" s="5">
        <f t="shared" si="0"/>
        <v>11026.166666666668</v>
      </c>
      <c r="F18" s="5">
        <f t="shared" si="1"/>
        <v>10011026.166666666</v>
      </c>
      <c r="I18"/>
      <c r="J18"/>
      <c r="K18"/>
    </row>
    <row r="19" spans="1:11" x14ac:dyDescent="0.2">
      <c r="I19"/>
      <c r="J19"/>
      <c r="K19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64482-40E8-5946-A872-92215F77FF75}">
  <sheetPr codeName="Sheet2"/>
  <dimension ref="A3:O27"/>
  <sheetViews>
    <sheetView showGridLines="0" tabSelected="1" zoomScale="120" zoomScaleNormal="120" workbookViewId="0">
      <selection activeCell="E17" sqref="E17"/>
    </sheetView>
  </sheetViews>
  <sheetFormatPr baseColWidth="10" defaultColWidth="8.83203125" defaultRowHeight="15" x14ac:dyDescent="0.2"/>
  <cols>
    <col min="1" max="1" width="10.83203125" style="4" bestFit="1" customWidth="1"/>
    <col min="2" max="2" width="10.1640625" style="4" bestFit="1" customWidth="1"/>
    <col min="3" max="3" width="10.33203125" style="4" bestFit="1" customWidth="1"/>
    <col min="4" max="4" width="10.1640625" style="4" bestFit="1" customWidth="1"/>
    <col min="5" max="7" width="13.1640625" style="5" bestFit="1" customWidth="1"/>
    <col min="8" max="8" width="12.6640625" style="4" bestFit="1" customWidth="1"/>
    <col min="9" max="9" width="13.1640625" style="4" bestFit="1" customWidth="1"/>
    <col min="10" max="10" width="7.5" style="4" bestFit="1" customWidth="1"/>
    <col min="11" max="11" width="15.83203125" style="4" bestFit="1" customWidth="1"/>
    <col min="12" max="12" width="9" style="4" bestFit="1" customWidth="1"/>
    <col min="13" max="13" width="6.33203125" style="4" bestFit="1" customWidth="1"/>
    <col min="14" max="14" width="6.83203125" style="4" bestFit="1" customWidth="1"/>
    <col min="15" max="15" width="9" style="4" bestFit="1" customWidth="1"/>
    <col min="16" max="16384" width="8.83203125" style="4"/>
  </cols>
  <sheetData>
    <row r="3" spans="1:15" x14ac:dyDescent="0.2">
      <c r="A3" s="8" t="s">
        <v>0</v>
      </c>
      <c r="B3" s="8" t="s">
        <v>1</v>
      </c>
      <c r="C3" s="8" t="s">
        <v>21</v>
      </c>
      <c r="D3" s="8" t="s">
        <v>2</v>
      </c>
      <c r="E3" s="9" t="s">
        <v>3</v>
      </c>
      <c r="F3" s="9" t="s">
        <v>4</v>
      </c>
      <c r="G3" s="9" t="s">
        <v>5</v>
      </c>
      <c r="H3" s="8" t="s">
        <v>6</v>
      </c>
      <c r="I3" s="9" t="s">
        <v>7</v>
      </c>
      <c r="J3" s="8" t="s">
        <v>8</v>
      </c>
      <c r="K3" s="8" t="s">
        <v>22</v>
      </c>
      <c r="L3" s="8" t="s">
        <v>9</v>
      </c>
      <c r="M3" s="8" t="s">
        <v>23</v>
      </c>
      <c r="N3" s="8" t="s">
        <v>24</v>
      </c>
      <c r="O3" s="8" t="s">
        <v>10</v>
      </c>
    </row>
    <row r="4" spans="1:15" x14ac:dyDescent="0.2">
      <c r="A4" s="4" t="s">
        <v>11</v>
      </c>
      <c r="B4" s="4" t="s">
        <v>25</v>
      </c>
      <c r="C4" s="4" t="s">
        <v>26</v>
      </c>
      <c r="D4" s="4" t="s">
        <v>25</v>
      </c>
      <c r="E4" s="5">
        <v>-10000000</v>
      </c>
      <c r="F4" s="5">
        <v>0</v>
      </c>
      <c r="G4" s="5">
        <v>-6221.6194444442153</v>
      </c>
      <c r="H4" s="4" t="b">
        <v>1</v>
      </c>
      <c r="I4" s="5">
        <v>-6221.6194444442153</v>
      </c>
      <c r="J4" s="4" t="s">
        <v>13</v>
      </c>
      <c r="K4" s="4" t="s">
        <v>27</v>
      </c>
      <c r="L4" s="11">
        <v>2.4613E-3</v>
      </c>
      <c r="M4" s="10">
        <v>0</v>
      </c>
      <c r="N4" s="4">
        <v>1</v>
      </c>
      <c r="O4" s="4" t="s">
        <v>28</v>
      </c>
    </row>
    <row r="5" spans="1:15" x14ac:dyDescent="0.2">
      <c r="A5" s="4" t="s">
        <v>25</v>
      </c>
      <c r="B5" s="4" t="s">
        <v>12</v>
      </c>
      <c r="C5" s="4" t="s">
        <v>29</v>
      </c>
      <c r="D5" s="4" t="s">
        <v>12</v>
      </c>
      <c r="E5" s="5">
        <v>-10000000</v>
      </c>
      <c r="F5" s="5">
        <v>0</v>
      </c>
      <c r="G5" s="5">
        <v>-6153.2500000005539</v>
      </c>
      <c r="H5" s="4" t="b">
        <v>1</v>
      </c>
      <c r="I5" s="5">
        <v>-6153.2500000005539</v>
      </c>
      <c r="J5" s="4" t="s">
        <v>13</v>
      </c>
      <c r="K5" s="4" t="s">
        <v>27</v>
      </c>
      <c r="L5" s="11">
        <v>2.4613E-3</v>
      </c>
      <c r="M5" s="10">
        <v>0</v>
      </c>
      <c r="N5" s="4">
        <v>1</v>
      </c>
      <c r="O5" s="4" t="s">
        <v>28</v>
      </c>
    </row>
    <row r="6" spans="1:15" x14ac:dyDescent="0.2">
      <c r="A6" s="4" t="s">
        <v>12</v>
      </c>
      <c r="B6" s="4" t="s">
        <v>30</v>
      </c>
      <c r="C6" s="4" t="s">
        <v>31</v>
      </c>
      <c r="D6" s="4" t="s">
        <v>30</v>
      </c>
      <c r="E6" s="5">
        <v>-10000000</v>
      </c>
      <c r="F6" s="5">
        <v>0</v>
      </c>
      <c r="G6" s="5">
        <v>-6289.9888888878759</v>
      </c>
      <c r="H6" s="4" t="b">
        <v>1</v>
      </c>
      <c r="I6" s="5">
        <v>-6289.9888888878759</v>
      </c>
      <c r="J6" s="4" t="s">
        <v>13</v>
      </c>
      <c r="K6" s="4" t="s">
        <v>27</v>
      </c>
      <c r="L6" s="11">
        <v>2.4613E-3</v>
      </c>
      <c r="M6" s="10">
        <v>0</v>
      </c>
      <c r="N6" s="4">
        <v>1</v>
      </c>
      <c r="O6" s="4" t="s">
        <v>28</v>
      </c>
    </row>
    <row r="7" spans="1:15" x14ac:dyDescent="0.2">
      <c r="A7" s="4" t="s">
        <v>30</v>
      </c>
      <c r="B7" s="4" t="s">
        <v>15</v>
      </c>
      <c r="C7" s="4" t="s">
        <v>32</v>
      </c>
      <c r="D7" s="4" t="s">
        <v>15</v>
      </c>
      <c r="E7" s="5">
        <v>-10000000</v>
      </c>
      <c r="F7" s="5">
        <v>0</v>
      </c>
      <c r="G7" s="5">
        <v>-6289.9888888878759</v>
      </c>
      <c r="H7" s="4" t="b">
        <v>1</v>
      </c>
      <c r="I7" s="5">
        <v>-6289.9888888878759</v>
      </c>
      <c r="J7" s="4" t="s">
        <v>13</v>
      </c>
      <c r="K7" s="4" t="s">
        <v>27</v>
      </c>
      <c r="L7" s="11">
        <v>2.4613E-3</v>
      </c>
      <c r="M7" s="10">
        <v>0</v>
      </c>
      <c r="N7" s="4">
        <v>1</v>
      </c>
      <c r="O7" s="4" t="s">
        <v>28</v>
      </c>
    </row>
    <row r="8" spans="1:15" x14ac:dyDescent="0.2">
      <c r="A8" s="4" t="s">
        <v>15</v>
      </c>
      <c r="B8" s="4" t="s">
        <v>33</v>
      </c>
      <c r="C8" s="4" t="s">
        <v>34</v>
      </c>
      <c r="D8" s="4" t="s">
        <v>33</v>
      </c>
      <c r="E8" s="5">
        <v>-10000000</v>
      </c>
      <c r="F8" s="5">
        <v>0</v>
      </c>
      <c r="G8" s="5">
        <v>-6221.6194444442153</v>
      </c>
      <c r="H8" s="4" t="b">
        <v>1</v>
      </c>
      <c r="I8" s="5">
        <v>-6221.6194444442153</v>
      </c>
      <c r="J8" s="4" t="s">
        <v>13</v>
      </c>
      <c r="K8" s="4" t="s">
        <v>27</v>
      </c>
      <c r="L8" s="11">
        <v>2.4613E-3</v>
      </c>
      <c r="M8" s="10">
        <v>0</v>
      </c>
      <c r="N8" s="4">
        <v>1</v>
      </c>
      <c r="O8" s="4" t="s">
        <v>28</v>
      </c>
    </row>
    <row r="9" spans="1:15" x14ac:dyDescent="0.2">
      <c r="A9" s="4" t="s">
        <v>33</v>
      </c>
      <c r="B9" s="4" t="s">
        <v>16</v>
      </c>
      <c r="C9" s="4" t="s">
        <v>35</v>
      </c>
      <c r="D9" s="4" t="s">
        <v>16</v>
      </c>
      <c r="E9" s="5">
        <v>-10000000</v>
      </c>
      <c r="F9" s="5">
        <v>0</v>
      </c>
      <c r="G9" s="5">
        <v>-6153.2500000005539</v>
      </c>
      <c r="H9" s="4" t="b">
        <v>1</v>
      </c>
      <c r="I9" s="5">
        <v>-6153.2500000005539</v>
      </c>
      <c r="J9" s="4" t="s">
        <v>13</v>
      </c>
      <c r="K9" s="4" t="s">
        <v>27</v>
      </c>
      <c r="L9" s="11">
        <v>2.4613E-3</v>
      </c>
      <c r="M9" s="10">
        <v>0</v>
      </c>
      <c r="N9" s="4">
        <v>1</v>
      </c>
      <c r="O9" s="4" t="s">
        <v>28</v>
      </c>
    </row>
    <row r="10" spans="1:15" x14ac:dyDescent="0.2">
      <c r="A10" s="4" t="s">
        <v>16</v>
      </c>
      <c r="B10" s="4" t="s">
        <v>36</v>
      </c>
      <c r="C10" s="4" t="s">
        <v>37</v>
      </c>
      <c r="D10" s="4" t="s">
        <v>36</v>
      </c>
      <c r="E10" s="5">
        <v>-10000000</v>
      </c>
      <c r="F10" s="5">
        <v>0</v>
      </c>
      <c r="G10" s="5">
        <v>-6289.9888888878759</v>
      </c>
      <c r="H10" s="4" t="b">
        <v>1</v>
      </c>
      <c r="I10" s="5">
        <v>-6289.9888888878759</v>
      </c>
      <c r="J10" s="4" t="s">
        <v>13</v>
      </c>
      <c r="K10" s="4" t="s">
        <v>27</v>
      </c>
      <c r="L10" s="11">
        <v>2.4613E-3</v>
      </c>
      <c r="M10" s="10">
        <v>0</v>
      </c>
      <c r="N10" s="4">
        <v>1</v>
      </c>
      <c r="O10" s="4" t="s">
        <v>28</v>
      </c>
    </row>
    <row r="11" spans="1:15" x14ac:dyDescent="0.2">
      <c r="A11" s="4" t="s">
        <v>36</v>
      </c>
      <c r="B11" s="4" t="s">
        <v>17</v>
      </c>
      <c r="C11" s="4" t="s">
        <v>38</v>
      </c>
      <c r="D11" s="4" t="s">
        <v>17</v>
      </c>
      <c r="E11" s="5">
        <v>-10000000</v>
      </c>
      <c r="F11" s="5">
        <v>-10000000</v>
      </c>
      <c r="G11" s="5">
        <v>-6426.7277777774189</v>
      </c>
      <c r="H11" s="4" t="b">
        <v>1</v>
      </c>
      <c r="I11" s="5">
        <v>-10006426.727777779</v>
      </c>
      <c r="J11" s="4" t="s">
        <v>13</v>
      </c>
      <c r="K11" s="4" t="s">
        <v>27</v>
      </c>
      <c r="L11" s="11">
        <v>2.4613E-3</v>
      </c>
      <c r="M11" s="10">
        <v>0</v>
      </c>
      <c r="N11" s="4">
        <v>1</v>
      </c>
      <c r="O11" s="4" t="s">
        <v>28</v>
      </c>
    </row>
    <row r="13" spans="1:15" ht="19" x14ac:dyDescent="0.25">
      <c r="A13" s="12" t="s">
        <v>18</v>
      </c>
      <c r="B13" s="13"/>
      <c r="C13" s="13"/>
      <c r="D13" s="14"/>
      <c r="E13" s="14"/>
      <c r="F13" s="14"/>
      <c r="G13" s="13"/>
      <c r="H13" s="13"/>
      <c r="I13" s="13"/>
      <c r="J13" s="15"/>
      <c r="K13" s="13"/>
      <c r="L13" s="13"/>
      <c r="M13" s="13"/>
      <c r="N13" s="13"/>
      <c r="O13" s="13"/>
    </row>
    <row r="15" spans="1:15" x14ac:dyDescent="0.2">
      <c r="B15" s="4" t="s">
        <v>19</v>
      </c>
      <c r="C15" s="4">
        <v>3</v>
      </c>
    </row>
    <row r="16" spans="1:15" x14ac:dyDescent="0.2">
      <c r="B16" s="4" t="s">
        <v>20</v>
      </c>
      <c r="C16" s="4">
        <v>0</v>
      </c>
    </row>
    <row r="17" spans="1:7" x14ac:dyDescent="0.2">
      <c r="B17" s="4" t="s">
        <v>39</v>
      </c>
      <c r="C17" s="4">
        <v>2</v>
      </c>
    </row>
    <row r="19" spans="1:7" x14ac:dyDescent="0.2">
      <c r="B19" s="8" t="s">
        <v>0</v>
      </c>
      <c r="C19" s="8" t="s">
        <v>1</v>
      </c>
      <c r="D19" s="8" t="s">
        <v>21</v>
      </c>
      <c r="E19" s="8" t="s">
        <v>2</v>
      </c>
      <c r="F19" s="9" t="s">
        <v>5</v>
      </c>
      <c r="G19" s="9" t="s">
        <v>7</v>
      </c>
    </row>
    <row r="20" spans="1:7" x14ac:dyDescent="0.2">
      <c r="A20" s="4">
        <v>1</v>
      </c>
      <c r="B20" s="7">
        <v>44091</v>
      </c>
      <c r="C20" s="7" cm="1">
        <f t="array" ref="C20">bussday(addmonths($B$20,$C$15*A20))</f>
        <v>44182</v>
      </c>
      <c r="D20" s="7" cm="1">
        <f t="array" ref="D20">lag(B20,$C$17)</f>
        <v>44089</v>
      </c>
      <c r="E20" s="7" cm="1">
        <f t="array" ref="E20">shift(C20,$C$16)</f>
        <v>44182</v>
      </c>
      <c r="F20" s="5">
        <f>E4*(L4*N4+M4)*(C20-B20)/360</f>
        <v>-6221.6194444444445</v>
      </c>
      <c r="G20" s="5">
        <f>F4+F20</f>
        <v>-6221.6194444444445</v>
      </c>
    </row>
    <row r="21" spans="1:7" x14ac:dyDescent="0.2">
      <c r="A21" s="4">
        <v>2</v>
      </c>
      <c r="B21" s="7">
        <f>C20</f>
        <v>44182</v>
      </c>
      <c r="C21" s="7" cm="1">
        <f t="array" ref="C21">bussday(addmonths($B$20,$C$15*A21))</f>
        <v>44272</v>
      </c>
      <c r="D21" s="7" cm="1">
        <f t="array" ref="D21">lag(B21,$C$17)</f>
        <v>44180</v>
      </c>
      <c r="E21" s="7" cm="1">
        <f t="array" ref="E21">shift(C21,$C$16)</f>
        <v>44272</v>
      </c>
      <c r="F21" s="5">
        <f t="shared" ref="F21:F27" si="0">E5*(L5*N5+M5)*(C21-B21)/360</f>
        <v>-6153.25</v>
      </c>
      <c r="G21" s="5">
        <f t="shared" ref="G21:G27" si="1">F5+F21</f>
        <v>-6153.25</v>
      </c>
    </row>
    <row r="22" spans="1:7" x14ac:dyDescent="0.2">
      <c r="A22" s="4">
        <v>3</v>
      </c>
      <c r="B22" s="7">
        <f t="shared" ref="B22:B27" si="2">C21</f>
        <v>44272</v>
      </c>
      <c r="C22" s="7" cm="1">
        <f t="array" ref="C22">bussday(addmonths($B$20,$C$15*A22))</f>
        <v>44364</v>
      </c>
      <c r="D22" s="7" cm="1">
        <f t="array" ref="D22">lag(B22,$C$17)</f>
        <v>44270</v>
      </c>
      <c r="E22" s="7" cm="1">
        <f t="array" ref="E22">shift(C22,$C$16)</f>
        <v>44364</v>
      </c>
      <c r="F22" s="5">
        <f t="shared" si="0"/>
        <v>-6289.9888888888891</v>
      </c>
      <c r="G22" s="5">
        <f t="shared" si="1"/>
        <v>-6289.9888888888891</v>
      </c>
    </row>
    <row r="23" spans="1:7" x14ac:dyDescent="0.2">
      <c r="A23" s="4">
        <v>4</v>
      </c>
      <c r="B23" s="7">
        <f t="shared" si="2"/>
        <v>44364</v>
      </c>
      <c r="C23" s="7" cm="1">
        <f t="array" ref="C23">bussday(addmonths($B$20,$C$15*A23))</f>
        <v>44456</v>
      </c>
      <c r="D23" s="7" cm="1">
        <f t="array" ref="D23">lag(B23,$C$17)</f>
        <v>44362</v>
      </c>
      <c r="E23" s="7" cm="1">
        <f t="array" ref="E23">shift(C23,$C$16)</f>
        <v>44456</v>
      </c>
      <c r="F23" s="5">
        <f t="shared" si="0"/>
        <v>-6289.9888888888891</v>
      </c>
      <c r="G23" s="5">
        <f t="shared" si="1"/>
        <v>-6289.9888888888891</v>
      </c>
    </row>
    <row r="24" spans="1:7" x14ac:dyDescent="0.2">
      <c r="A24" s="4">
        <v>5</v>
      </c>
      <c r="B24" s="7">
        <f t="shared" si="2"/>
        <v>44456</v>
      </c>
      <c r="C24" s="7" cm="1">
        <f t="array" ref="C24">bussday(addmonths($B$20,$C$15*A24))</f>
        <v>44547</v>
      </c>
      <c r="D24" s="7" cm="1">
        <f t="array" ref="D24">lag(B24,$C$17)</f>
        <v>44454</v>
      </c>
      <c r="E24" s="7" cm="1">
        <f t="array" ref="E24">shift(C24,$C$16)</f>
        <v>44547</v>
      </c>
      <c r="F24" s="5">
        <f t="shared" si="0"/>
        <v>-6221.6194444444445</v>
      </c>
      <c r="G24" s="5">
        <f t="shared" si="1"/>
        <v>-6221.6194444444445</v>
      </c>
    </row>
    <row r="25" spans="1:7" x14ac:dyDescent="0.2">
      <c r="A25" s="4">
        <v>6</v>
      </c>
      <c r="B25" s="7">
        <f t="shared" si="2"/>
        <v>44547</v>
      </c>
      <c r="C25" s="7" cm="1">
        <f t="array" ref="C25">bussday(addmonths($B$20,$C$15*A25))</f>
        <v>44637</v>
      </c>
      <c r="D25" s="7" cm="1">
        <f t="array" ref="D25">lag(B25,$C$17)</f>
        <v>44545</v>
      </c>
      <c r="E25" s="7" cm="1">
        <f t="array" ref="E25">shift(C25,$C$16)</f>
        <v>44637</v>
      </c>
      <c r="F25" s="5">
        <f t="shared" si="0"/>
        <v>-6153.25</v>
      </c>
      <c r="G25" s="5">
        <f t="shared" si="1"/>
        <v>-6153.25</v>
      </c>
    </row>
    <row r="26" spans="1:7" x14ac:dyDescent="0.2">
      <c r="A26" s="4">
        <v>7</v>
      </c>
      <c r="B26" s="7">
        <f t="shared" si="2"/>
        <v>44637</v>
      </c>
      <c r="C26" s="7" cm="1">
        <f t="array" ref="C26">bussday(addmonths($B$20,$C$15*A26))</f>
        <v>44729</v>
      </c>
      <c r="D26" s="7" cm="1">
        <f t="array" ref="D26">lag(B26,$C$17)</f>
        <v>44635</v>
      </c>
      <c r="E26" s="7" cm="1">
        <f t="array" ref="E26">shift(C26,$C$16)</f>
        <v>44729</v>
      </c>
      <c r="F26" s="5">
        <f t="shared" si="0"/>
        <v>-6289.9888888888891</v>
      </c>
      <c r="G26" s="5">
        <f t="shared" si="1"/>
        <v>-6289.9888888888891</v>
      </c>
    </row>
    <row r="27" spans="1:7" x14ac:dyDescent="0.2">
      <c r="A27" s="4">
        <v>8</v>
      </c>
      <c r="B27" s="7">
        <f t="shared" si="2"/>
        <v>44729</v>
      </c>
      <c r="C27" s="7" cm="1">
        <f t="array" ref="C27">bussday(addmonths($B$20,$C$15*A27))</f>
        <v>44823</v>
      </c>
      <c r="D27" s="7" cm="1">
        <f t="array" ref="D27">lag(B27,$C$17)</f>
        <v>44727</v>
      </c>
      <c r="E27" s="7" cm="1">
        <f t="array" ref="E27">shift(C27,$C$16)</f>
        <v>44823</v>
      </c>
      <c r="F27" s="5">
        <f t="shared" si="0"/>
        <v>-6426.7277777777781</v>
      </c>
      <c r="G27" s="5">
        <f t="shared" si="1"/>
        <v>-10006426.727777777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pata fija</vt:lpstr>
      <vt:lpstr>pata flotante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Alvaro Diaz</cp:lastModifiedBy>
  <dcterms:created xsi:type="dcterms:W3CDTF">2021-10-18T20:44:47Z</dcterms:created>
  <dcterms:modified xsi:type="dcterms:W3CDTF">2021-10-19T00:16:20Z</dcterms:modified>
</cp:coreProperties>
</file>